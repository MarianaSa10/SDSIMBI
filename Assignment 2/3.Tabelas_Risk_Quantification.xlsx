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20726_isep_ipp_pt/Documents/engbio/Mestrado/1º ano/SDSI/"/>
    </mc:Choice>
  </mc:AlternateContent>
  <xr:revisionPtr revIDLastSave="362" documentId="8_{C0ECB79B-05AF-4CE2-B534-7B3AD6994DF5}" xr6:coauthVersionLast="47" xr6:coauthVersionMax="47" xr10:uidLastSave="{24EDD54F-61D8-4DC8-95F1-2075E63859FD}"/>
  <bookViews>
    <workbookView xWindow="-98" yWindow="-98" windowWidth="23236" windowHeight="13875" xr2:uid="{88C0E3A2-DBEB-4283-904E-BBD56778481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1" l="1"/>
  <c r="X38" i="1" s="1"/>
  <c r="X39" i="1" s="1"/>
  <c r="X40" i="1" s="1"/>
  <c r="X41" i="1" s="1"/>
  <c r="X42" i="1" s="1"/>
  <c r="X43" i="1" s="1"/>
  <c r="X44" i="1" s="1"/>
  <c r="X45" i="1" s="1"/>
  <c r="AD12" i="1"/>
  <c r="AD13" i="1" s="1"/>
  <c r="AD14" i="1" s="1"/>
  <c r="AD15" i="1" s="1"/>
  <c r="AD16" i="1" s="1"/>
  <c r="AD17" i="1" s="1"/>
  <c r="AD18" i="1" s="1"/>
  <c r="AD19" i="1" s="1"/>
  <c r="AD20" i="1" s="1"/>
</calcChain>
</file>

<file path=xl/sharedStrings.xml><?xml version="1.0" encoding="utf-8"?>
<sst xmlns="http://schemas.openxmlformats.org/spreadsheetml/2006/main" count="431" uniqueCount="163">
  <si>
    <t>Acesso sem autorização do Dashboard/ API do Central Hub</t>
  </si>
  <si>
    <t xml:space="preserve">Fuga de metadados anonimizados </t>
  </si>
  <si>
    <t xml:space="preserve">Execução remota de código em SPE </t>
  </si>
  <si>
    <t>Envenenamento de modelos de IA</t>
  </si>
  <si>
    <t xml:space="preserve">Interceção de tráfego entre Hub e Nodes </t>
  </si>
  <si>
    <t xml:space="preserve">Denial of Services (DoS) </t>
  </si>
  <si>
    <t xml:space="preserve">Exposição de chaves de criptografia, segredos ou tokens </t>
  </si>
  <si>
    <t>Alteração ou destruição de logs e rastreabilidade</t>
  </si>
  <si>
    <t>Erro de configuração em Kubernetes</t>
  </si>
  <si>
    <t>Riscos do sistema</t>
  </si>
  <si>
    <t>Métricas de Explorabilidade</t>
  </si>
  <si>
    <t xml:space="preserve">Attack Complexity </t>
  </si>
  <si>
    <t>Low</t>
  </si>
  <si>
    <t xml:space="preserve">Compromisso de credenciais de utilizadores </t>
  </si>
  <si>
    <t>High</t>
  </si>
  <si>
    <t>Necessidae de contorno de mecanismos de anonimização e aplicação de processos avançados de correlação estatística</t>
  </si>
  <si>
    <t>Uma vez existente a vulnerabilidade, não é necessário contornar mecanismos adicionais como proteção de memoria, aleatorização etc..</t>
  </si>
  <si>
    <t>Exige contornar mecanismos como a validação de dados e deteção de anomalias durante o processo de treino da IA</t>
  </si>
  <si>
    <t>Estes ataques do tipo phishing apenas dependem da exploração direta do fator humano</t>
  </si>
  <si>
    <t>Exuge contornar mecanismos de proteção, uma vez que todas as comunicações são cifradas por HTPPS e DICOM seguro</t>
  </si>
  <si>
    <t>Apenas dependem do envio massivo de tráfego ou pedidos maliciosos</t>
  </si>
  <si>
    <t>Uma vez expostos não existem mecanismos tecnicos adicionais  a serem ultrapassados para a sua exploração</t>
  </si>
  <si>
    <t>Existindo a vulnerabilidade que permite essa ação não é necessário contornar proteções avançadas</t>
  </si>
  <si>
    <t>As falhas de configuração normalmente resultam de exposições diretas</t>
  </si>
  <si>
    <t>Existindo uma vulnerabilidade a sua exploração não exige ultapassar mecanismos avançados</t>
  </si>
  <si>
    <t>Motivo</t>
  </si>
  <si>
    <t xml:space="preserve">Attack Requirements </t>
  </si>
  <si>
    <t>None</t>
  </si>
  <si>
    <t>O ataque não condições específicas de execução do sistema, podendo ser realizado desde que a vulnerabilidade exista.</t>
  </si>
  <si>
    <t>Present</t>
  </si>
  <si>
    <t>Depende de condições específicas, como a disponibilidade de bases de dados externas para realizar o cruzamento</t>
  </si>
  <si>
    <t>É apenas necessário que a vulnerabilidade exista.</t>
  </si>
  <si>
    <t>Depende da existencia de fases de treino que estejam ativas e da aceitação de dados externos no pipeline.</t>
  </si>
  <si>
    <t>Não depende de condições específicas da infraestrutura.</t>
  </si>
  <si>
    <t>Depende da presença do atacante no caminho lógico da comunicação.</t>
  </si>
  <si>
    <t>Não depende de condições específicas do sistema.</t>
  </si>
  <si>
    <t>Depende apenas de uma configuração incorreta (erro humano) ou publicação indevida por exemplo num repositório.</t>
  </si>
  <si>
    <t>A vulnerabilidade existe permanentemente depois da má configuração.</t>
  </si>
  <si>
    <t>Apenas depende do atacante já ter obtido o nível de acesso necessário como uma conta de investigador</t>
  </si>
  <si>
    <t>Riscos do Sistema</t>
  </si>
  <si>
    <t xml:space="preserve">Privileges Required </t>
  </si>
  <si>
    <t>O atacante não necessita de nenhuma autentificação prévia.</t>
  </si>
  <si>
    <t>O atacante necessita de ter acesso mínimo aos metadados.</t>
  </si>
  <si>
    <t>É necessário ter uma conta de utilizador com as permissões básicas para submeter pipelines.</t>
  </si>
  <si>
    <t>Necessita de permissões básicas de submissão de dados ou modelos.</t>
  </si>
  <si>
    <t>Não necessita de privilégios para iniciar o ataque (phishing).</t>
  </si>
  <si>
    <t>Não requer autentificação</t>
  </si>
  <si>
    <t>Qualquer utilizador pode explorar os segredos expotos</t>
  </si>
  <si>
    <t>Necessita de acesso mínimo ao sistema.</t>
  </si>
  <si>
    <t>Normalmente basta acesso de utilizador básico á rede interna.</t>
  </si>
  <si>
    <t xml:space="preserve">User Interaction </t>
  </si>
  <si>
    <t>Não necessita de interação de outro utilizador.</t>
  </si>
  <si>
    <t>Active</t>
  </si>
  <si>
    <t>Requer uma ação consciente do utilizador ao introduzir as suas credenciais.</t>
  </si>
  <si>
    <t>Passive</t>
  </si>
  <si>
    <t>A sua exploração acontece durante comunicações normais de utilizadores legítimos.</t>
  </si>
  <si>
    <t>Não depende da ação de utilizadores legítimos.</t>
  </si>
  <si>
    <t>Confidentiality Impact</t>
  </si>
  <si>
    <t>Pode existir acesso total a dados que sejam sensíveis e a credenciais.</t>
  </si>
  <si>
    <t>Permite acesso direto a projetos e a dados.</t>
  </si>
  <si>
    <t>Pode expor dados e resultados.</t>
  </si>
  <si>
    <t>Não envolve diretamente fuga de dados.</t>
  </si>
  <si>
    <t>Pode permitir acesso a dados clínicos e modelos.</t>
  </si>
  <si>
    <t>Pode levar à identificação direta de pacientes.</t>
  </si>
  <si>
    <t>Não existe acesso a dados.</t>
  </si>
  <si>
    <t>Permite acesso direto a sistemas protegidos.</t>
  </si>
  <si>
    <t>Os logs podem conter dados sensíveis limitados.</t>
  </si>
  <si>
    <t xml:space="preserve">Pode permitir acesso a volumes, dados e segredos. </t>
  </si>
  <si>
    <t>Integrity Impact</t>
  </si>
  <si>
    <t>O atacante consegue alterar dados, pedidos de acesso e configurações.</t>
  </si>
  <si>
    <t>Não existe modificação de dados, apenas a sua exposição.</t>
  </si>
  <si>
    <t>O atacante pode alterar código, resultados e modelos.</t>
  </si>
  <si>
    <t>Compromete de forma direta a integridade dos modelos treinados</t>
  </si>
  <si>
    <t>Permite algumas alterações limitadas sob a identidade comprometida.</t>
  </si>
  <si>
    <t>Pode permitir a alteração de dados transmitidos.</t>
  </si>
  <si>
    <t>Não há modificação de dados.</t>
  </si>
  <si>
    <t>Permite o controlo e manipulação dos serviços.</t>
  </si>
  <si>
    <t>Compromete a integridade da auditoria.</t>
  </si>
  <si>
    <t>Permite alterações a serviços e imagens.</t>
  </si>
  <si>
    <t>Availability Impact</t>
  </si>
  <si>
    <t>O controlo indevido pode levar à interrupção total  dos serviços.</t>
  </si>
  <si>
    <t>Não impacta a disponibilidade do sistema.</t>
  </si>
  <si>
    <t>Pode levar à paragem completa dos Nodes</t>
  </si>
  <si>
    <t>Os serviços continuam disponiveis mas com com resultados incorretos/alterados.</t>
  </si>
  <si>
    <t>O seu impacto normalmente é reduzido.</t>
  </si>
  <si>
    <t>Apenas causa interrupções temporarias de comunicação.</t>
  </si>
  <si>
    <t>Pode causar indisponibilidade total dos serviços.</t>
  </si>
  <si>
    <t>Pode levar à destruição ou bloqueio de  infraestruturas.</t>
  </si>
  <si>
    <t>Afeta a capacidade de monitorização sem parar o sistema por completo.</t>
  </si>
  <si>
    <t>Pode causar paragens generalizadas da plataforma.</t>
  </si>
  <si>
    <t>Exploit Maturity</t>
  </si>
  <si>
    <t>Atacked</t>
  </si>
  <si>
    <t>Técnicas de exploração de falhas de autentificação são normalmente conhecidas.</t>
  </si>
  <si>
    <t>Proof-of-Concept</t>
  </si>
  <si>
    <t>Técnicas de re-identificação estão documentadas, mas não existem registos de exploração masiva.</t>
  </si>
  <si>
    <t>Técnicas de execução remota de código em ambientes isolados já foram demonstradas eficazes em varios contextos.</t>
  </si>
  <si>
    <t>Ataques de envenenamento são objetos de estudo em ambientes de pesquisa, mas a sua exploração em larga escala ainda é limitada.</t>
  </si>
  <si>
    <t>Técnicas de phishing e exploração de credenciais são comuns.</t>
  </si>
  <si>
    <t>Existem técnicas mas a sua exploração requer posicionamento na rede</t>
  </si>
  <si>
    <t>Técnicas deDoS sãoexploraveis e conhecidas.</t>
  </si>
  <si>
    <t>Exploits de exposição de segredos são comuns e documentados.</t>
  </si>
  <si>
    <t>A sua exploração exige conhecimento específico do sistema</t>
  </si>
  <si>
    <t>A sua exploração depende do conhecimento da configuração.</t>
  </si>
  <si>
    <t>AV:N, AC:L, AT:N, PR:N, UI:N</t>
  </si>
  <si>
    <t>AV:N, AC:L, AT:N, PR:L, UI:N</t>
  </si>
  <si>
    <t>AV:N, AC:H, AT:P, PR:L, UI:N</t>
  </si>
  <si>
    <t>AV:N, AC:L, AT:N, PR:N, UI:A</t>
  </si>
  <si>
    <t>AV:N, AC:H, AT:P, PR:N, UI:P</t>
  </si>
  <si>
    <t>Métricas de Impacto</t>
  </si>
  <si>
    <t>VC=SC:H, VI=SI:H, VA=SA:H</t>
  </si>
  <si>
    <t>VC=SC:N, VI=SI:N, VA=SA:H</t>
  </si>
  <si>
    <t>VC=SC:H, VI=SI:N, VA=SA:N</t>
  </si>
  <si>
    <t>VC=SC:L, VI=SI:H, VA=SA:L</t>
  </si>
  <si>
    <t>VC=SC:H, VI=SI:L, VA=SA:L</t>
  </si>
  <si>
    <t>VC=SC:H, VI=SI:H, VA=SA:L</t>
  </si>
  <si>
    <t>Métricas de Ameaça</t>
  </si>
  <si>
    <t>E:A</t>
  </si>
  <si>
    <t>E:P</t>
  </si>
  <si>
    <t>Métricas Ambientais</t>
  </si>
  <si>
    <t>Modified Base Metrics</t>
  </si>
  <si>
    <t>X</t>
  </si>
  <si>
    <t>CVSS Score</t>
  </si>
  <si>
    <t>5.7</t>
  </si>
  <si>
    <t xml:space="preserve"> 9.4 </t>
  </si>
  <si>
    <t>8.4</t>
  </si>
  <si>
    <t>MSI</t>
  </si>
  <si>
    <t>7.3</t>
  </si>
  <si>
    <t>7.4</t>
  </si>
  <si>
    <t>9.2</t>
  </si>
  <si>
    <t>7.2</t>
  </si>
  <si>
    <t>8.6</t>
  </si>
  <si>
    <t>CR:H, IR:H, AR:H, MSI</t>
  </si>
  <si>
    <t>CR:H, IR:H, AR:H,X</t>
  </si>
  <si>
    <t>Alto</t>
  </si>
  <si>
    <t>Baixo</t>
  </si>
  <si>
    <t>Médio</t>
  </si>
  <si>
    <t>Baixa</t>
  </si>
  <si>
    <t>Média</t>
  </si>
  <si>
    <t>Alta</t>
  </si>
  <si>
    <t xml:space="preserve">                                                Impacto
  Probabilidade</t>
  </si>
  <si>
    <t>risco</t>
  </si>
  <si>
    <t>Impacto Regulatório</t>
  </si>
  <si>
    <t>GDPR: Alto, risco de reidentificação.
NIS2: Baixo, não compromete o serviço.
EHDS: Médio, afeta a confiança e as obrigações de pseudonimização.</t>
  </si>
  <si>
    <t>GDPR: Alto, possiblita a manipulação ou extração de dados.
NIS2: Alto, impacto severo na continuidade e integridade do sistema.
EHDS: Alto,compromete a integridade dos dados utilizados.</t>
  </si>
  <si>
    <t>GDPR: Alto, leva a decisões automatizadas incorretas sobre os dados de saúde.
NIS2: Médio, degrada o serviço mas não leva à sua interrupção total.
EHDS: Alto, compromete a qualidade dos dados e outputs que são partilhados.</t>
  </si>
  <si>
    <t>GDPR: Alto, a intercepção pode expor dados.
NIS2: Médio, afeta a integriadade mas nem sempre a continuidade.
EHDS: Alto, viola requisitos de encriptação obrigatória.</t>
  </si>
  <si>
    <t>GDPR: Alto, compromete a confidencialidade na sua totalidade.
NIS2: Alto, afeta a resiliencia total do sistema.
EHDS: Alto, rompe mecanismos core de segurança e interoperabilidade.</t>
  </si>
  <si>
    <t>GDPR: Alto, possiblita a abertura a acessos indevíduos.
NIS2: Alto, configurações inseguras não tem conformidade explícita.
EHDS: Alto, afeta a integridade do ambiente de dados de saúde.</t>
  </si>
  <si>
    <t>GDPR: Médio, a sua indisponibilidade afeta os direitos dos titulares, mas sem ocorrer fuga de dados.
NIS2: Alto, impata formetente a continuidade do serviço.
EHDS: Alto, a sua indisponibilidade afeta o acesso fronteiro a dados</t>
  </si>
  <si>
    <t>GDPR: Alto, fornece acesso direto a dados de saúde.
NIS2: Alto, compromete a continuidade, integridade e controlooperacional do serviço.
EHDS: Alto, fornece acesso não legítimo a dados de saúde que compromete a interoperabilidade e confiança do sistema.</t>
  </si>
  <si>
    <t>GDPR: Alto,  compromete a accountability, registo de operações e capacidade de reporte de incidentes.
NIS2: Alto, viola requisitos de auditoria e resposta a incidentes.
EHDS: Alto, afeta a qualidade do ciclo de vidados dados</t>
  </si>
  <si>
    <t>GDPR: Alto, leva a acesso não autorizado a dados seníveis.
NIS2: Alto, risco sistemico para contas priveligiadas.
EHDS: Alto, viola requisitos de controlo e acesso seguros</t>
  </si>
  <si>
    <t>Categoria</t>
  </si>
  <si>
    <t>CR:H, IR:H, AR:H</t>
  </si>
  <si>
    <t>Crítico</t>
  </si>
  <si>
    <t>CR:H, IR:H, AR:H, MSI:S</t>
  </si>
  <si>
    <t>Muito Alta</t>
  </si>
  <si>
    <t>Muito Baixa</t>
  </si>
  <si>
    <t>Muito
 Baixo</t>
  </si>
  <si>
    <t>Muito 
Alto</t>
  </si>
  <si>
    <t>1 e 8</t>
  </si>
  <si>
    <t>6 e 9</t>
  </si>
  <si>
    <t>4 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</si>
</sst>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Calibri"/>
      <family val="2"/>
    </font>
    <font>
      <sz val="10"/>
      <color rgb="FFFFFFFF"/>
      <name val="Aptos Narrow"/>
      <family val="2"/>
    </font>
    <font>
      <sz val="10"/>
      <color rgb="FF00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DBCB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9E4B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0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6" borderId="1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7" borderId="12" xfId="0" applyFont="1" applyFill="1" applyBorder="1" applyAlignment="1">
      <alignment horizontal="justify" wrapText="1"/>
    </xf>
    <xf numFmtId="0" fontId="4" fillId="17" borderId="7" xfId="0" applyFont="1" applyFill="1" applyBorder="1" applyAlignment="1">
      <alignment horizontal="center" vertical="center"/>
    </xf>
    <xf numFmtId="0" fontId="4" fillId="18" borderId="7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4" fillId="20" borderId="8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4" fillId="13" borderId="1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C56C-BF34-4FE7-9AD7-A37AFDD6D5BE}">
  <dimension ref="E6:AK129"/>
  <sheetViews>
    <sheetView tabSelected="1" zoomScale="70" zoomScaleNormal="70" workbookViewId="0">
      <selection activeCell="E1" sqref="E1:E1048576"/>
    </sheetView>
  </sheetViews>
  <sheetFormatPr defaultRowHeight="14.25" x14ac:dyDescent="0.45"/>
  <cols>
    <col min="4" max="4" width="4.6640625" customWidth="1"/>
    <col min="5" max="5" width="47.19921875" customWidth="1"/>
    <col min="6" max="6" width="12.3984375" customWidth="1"/>
    <col min="7" max="7" width="112.19921875" customWidth="1"/>
    <col min="14" max="14" width="25.06640625" customWidth="1"/>
    <col min="15" max="15" width="40.1328125" customWidth="1"/>
    <col min="20" max="20" width="5.9296875" customWidth="1"/>
    <col min="21" max="21" width="34.19921875" hidden="1" customWidth="1"/>
    <col min="22" max="22" width="45.33203125" customWidth="1"/>
    <col min="23" max="23" width="35.73046875" customWidth="1"/>
    <col min="24" max="24" width="28.796875" customWidth="1"/>
    <col min="25" max="25" width="12.59765625" customWidth="1"/>
    <col min="26" max="26" width="23.06640625" customWidth="1"/>
    <col min="27" max="27" width="21.19921875" customWidth="1"/>
    <col min="28" max="28" width="18.53125" customWidth="1"/>
    <col min="29" max="29" width="5.3984375" customWidth="1"/>
    <col min="32" max="32" width="31.1328125" customWidth="1"/>
    <col min="33" max="33" width="6.86328125" customWidth="1"/>
    <col min="34" max="34" width="4.73046875" customWidth="1"/>
    <col min="35" max="35" width="6.06640625" customWidth="1"/>
    <col min="36" max="36" width="5.3984375" customWidth="1"/>
    <col min="37" max="37" width="8.265625" customWidth="1"/>
  </cols>
  <sheetData>
    <row r="6" spans="5:30" x14ac:dyDescent="0.45">
      <c r="E6" s="4" t="s">
        <v>9</v>
      </c>
      <c r="F6" s="4" t="s">
        <v>11</v>
      </c>
      <c r="G6" s="4" t="s">
        <v>25</v>
      </c>
    </row>
    <row r="7" spans="5:30" x14ac:dyDescent="0.45">
      <c r="E7" s="1" t="s">
        <v>0</v>
      </c>
      <c r="F7" s="2" t="s">
        <v>12</v>
      </c>
      <c r="G7" s="1" t="s">
        <v>24</v>
      </c>
    </row>
    <row r="8" spans="5:30" x14ac:dyDescent="0.45">
      <c r="E8" s="1" t="s">
        <v>1</v>
      </c>
      <c r="F8" s="3" t="s">
        <v>14</v>
      </c>
      <c r="G8" s="1" t="s">
        <v>15</v>
      </c>
      <c r="N8" s="9" t="s">
        <v>39</v>
      </c>
      <c r="O8" s="9" t="s">
        <v>141</v>
      </c>
    </row>
    <row r="9" spans="5:30" ht="99.75" x14ac:dyDescent="0.45">
      <c r="E9" s="1" t="s">
        <v>2</v>
      </c>
      <c r="F9" s="2" t="s">
        <v>12</v>
      </c>
      <c r="G9" s="1" t="s">
        <v>16</v>
      </c>
      <c r="N9" s="1" t="s">
        <v>0</v>
      </c>
      <c r="O9" s="12" t="s">
        <v>149</v>
      </c>
    </row>
    <row r="10" spans="5:30" ht="57" x14ac:dyDescent="0.45">
      <c r="E10" s="1" t="s">
        <v>3</v>
      </c>
      <c r="F10" s="3" t="s">
        <v>14</v>
      </c>
      <c r="G10" s="1" t="s">
        <v>17</v>
      </c>
      <c r="N10" s="1" t="s">
        <v>1</v>
      </c>
      <c r="O10" s="12" t="s">
        <v>142</v>
      </c>
      <c r="V10" s="9" t="s">
        <v>39</v>
      </c>
      <c r="W10" s="9" t="s">
        <v>10</v>
      </c>
      <c r="X10" s="9" t="s">
        <v>108</v>
      </c>
      <c r="Y10" s="9"/>
      <c r="Z10" s="9" t="s">
        <v>115</v>
      </c>
      <c r="AA10" s="9" t="s">
        <v>118</v>
      </c>
      <c r="AB10" s="9" t="s">
        <v>119</v>
      </c>
      <c r="AC10" s="9" t="s">
        <v>121</v>
      </c>
      <c r="AD10" s="10" t="s">
        <v>140</v>
      </c>
    </row>
    <row r="11" spans="5:30" ht="85.5" x14ac:dyDescent="0.45">
      <c r="E11" s="1" t="s">
        <v>13</v>
      </c>
      <c r="F11" s="2" t="s">
        <v>12</v>
      </c>
      <c r="G11" s="1" t="s">
        <v>18</v>
      </c>
      <c r="N11" s="1" t="s">
        <v>2</v>
      </c>
      <c r="O11" s="12" t="s">
        <v>143</v>
      </c>
      <c r="V11" s="1" t="s">
        <v>0</v>
      </c>
      <c r="W11" s="1" t="s">
        <v>103</v>
      </c>
      <c r="X11" s="1" t="s">
        <v>109</v>
      </c>
      <c r="Y11" s="1"/>
      <c r="Z11" s="1" t="s">
        <v>116</v>
      </c>
      <c r="AA11" s="55" t="s">
        <v>132</v>
      </c>
      <c r="AB11" s="1" t="s">
        <v>120</v>
      </c>
      <c r="AC11" s="1">
        <v>10</v>
      </c>
      <c r="AD11" s="1">
        <v>1</v>
      </c>
    </row>
    <row r="12" spans="5:30" ht="85.5" x14ac:dyDescent="0.45">
      <c r="E12" s="1" t="s">
        <v>4</v>
      </c>
      <c r="F12" s="3" t="s">
        <v>14</v>
      </c>
      <c r="G12" s="1" t="s">
        <v>19</v>
      </c>
      <c r="N12" s="1" t="s">
        <v>3</v>
      </c>
      <c r="O12" s="12" t="s">
        <v>144</v>
      </c>
      <c r="V12" s="1" t="s">
        <v>1</v>
      </c>
      <c r="W12" s="1" t="s">
        <v>105</v>
      </c>
      <c r="X12" s="1" t="s">
        <v>111</v>
      </c>
      <c r="Y12" s="1"/>
      <c r="Z12" s="1" t="s">
        <v>117</v>
      </c>
      <c r="AA12" s="55"/>
      <c r="AB12" s="1" t="s">
        <v>120</v>
      </c>
      <c r="AC12" s="1" t="s">
        <v>122</v>
      </c>
      <c r="AD12" s="1">
        <f>AD11+1</f>
        <v>2</v>
      </c>
    </row>
    <row r="13" spans="5:30" ht="85.5" x14ac:dyDescent="0.45">
      <c r="E13" s="1" t="s">
        <v>5</v>
      </c>
      <c r="F13" s="2" t="s">
        <v>12</v>
      </c>
      <c r="G13" s="1" t="s">
        <v>20</v>
      </c>
      <c r="N13" s="1" t="s">
        <v>13</v>
      </c>
      <c r="O13" s="12" t="s">
        <v>151</v>
      </c>
      <c r="V13" s="1" t="s">
        <v>2</v>
      </c>
      <c r="W13" s="1" t="s">
        <v>104</v>
      </c>
      <c r="X13" s="1" t="s">
        <v>109</v>
      </c>
      <c r="Y13" s="1"/>
      <c r="Z13" s="1" t="s">
        <v>116</v>
      </c>
      <c r="AA13" s="55"/>
      <c r="AB13" s="1" t="s">
        <v>120</v>
      </c>
      <c r="AC13" s="1" t="s">
        <v>123</v>
      </c>
      <c r="AD13" s="1">
        <f t="shared" ref="AD13:AD20" si="0">AD12+1</f>
        <v>3</v>
      </c>
    </row>
    <row r="14" spans="5:30" ht="71.25" x14ac:dyDescent="0.45">
      <c r="E14" s="1" t="s">
        <v>6</v>
      </c>
      <c r="F14" s="2" t="s">
        <v>12</v>
      </c>
      <c r="G14" s="1" t="s">
        <v>21</v>
      </c>
      <c r="N14" s="1" t="s">
        <v>4</v>
      </c>
      <c r="O14" s="12" t="s">
        <v>145</v>
      </c>
      <c r="V14" s="1" t="s">
        <v>3</v>
      </c>
      <c r="W14" s="1" t="s">
        <v>105</v>
      </c>
      <c r="X14" s="1" t="s">
        <v>112</v>
      </c>
      <c r="Y14" s="1"/>
      <c r="Z14" s="1" t="s">
        <v>117</v>
      </c>
      <c r="AA14" s="8" t="s">
        <v>131</v>
      </c>
      <c r="AB14" s="1" t="s">
        <v>125</v>
      </c>
      <c r="AC14" s="1" t="s">
        <v>126</v>
      </c>
      <c r="AD14" s="1">
        <f t="shared" si="0"/>
        <v>4</v>
      </c>
    </row>
    <row r="15" spans="5:30" ht="99.75" x14ac:dyDescent="0.45">
      <c r="E15" s="1" t="s">
        <v>7</v>
      </c>
      <c r="F15" s="2" t="s">
        <v>12</v>
      </c>
      <c r="G15" s="1" t="s">
        <v>22</v>
      </c>
      <c r="N15" s="1" t="s">
        <v>5</v>
      </c>
      <c r="O15" s="12" t="s">
        <v>148</v>
      </c>
      <c r="V15" s="1" t="s">
        <v>13</v>
      </c>
      <c r="W15" s="1" t="s">
        <v>106</v>
      </c>
      <c r="X15" s="1" t="s">
        <v>113</v>
      </c>
      <c r="Y15" s="1"/>
      <c r="Z15" s="1" t="s">
        <v>116</v>
      </c>
      <c r="AA15" s="55" t="s">
        <v>132</v>
      </c>
      <c r="AB15" s="1" t="s">
        <v>120</v>
      </c>
      <c r="AC15" s="1" t="s">
        <v>124</v>
      </c>
      <c r="AD15" s="1">
        <f t="shared" si="0"/>
        <v>5</v>
      </c>
    </row>
    <row r="16" spans="5:30" ht="71.25" x14ac:dyDescent="0.45">
      <c r="E16" s="1" t="s">
        <v>8</v>
      </c>
      <c r="F16" s="2" t="s">
        <v>12</v>
      </c>
      <c r="G16" s="1" t="s">
        <v>23</v>
      </c>
      <c r="N16" s="1" t="s">
        <v>6</v>
      </c>
      <c r="O16" s="12" t="s">
        <v>146</v>
      </c>
      <c r="V16" s="1" t="s">
        <v>4</v>
      </c>
      <c r="W16" s="1" t="s">
        <v>107</v>
      </c>
      <c r="X16" s="1" t="s">
        <v>114</v>
      </c>
      <c r="Y16" s="1"/>
      <c r="Z16" s="1" t="s">
        <v>117</v>
      </c>
      <c r="AA16" s="55"/>
      <c r="AB16" s="1" t="s">
        <v>120</v>
      </c>
      <c r="AC16" s="1" t="s">
        <v>127</v>
      </c>
      <c r="AD16" s="1">
        <f t="shared" si="0"/>
        <v>6</v>
      </c>
    </row>
    <row r="17" spans="5:30" ht="99.75" x14ac:dyDescent="0.45">
      <c r="N17" s="1" t="s">
        <v>7</v>
      </c>
      <c r="O17" s="12" t="s">
        <v>150</v>
      </c>
      <c r="V17" s="1" t="s">
        <v>5</v>
      </c>
      <c r="W17" s="1" t="s">
        <v>103</v>
      </c>
      <c r="X17" s="1" t="s">
        <v>110</v>
      </c>
      <c r="Y17" s="1"/>
      <c r="Z17" s="1" t="s">
        <v>116</v>
      </c>
      <c r="AA17" s="55"/>
      <c r="AB17" s="1" t="s">
        <v>120</v>
      </c>
      <c r="AC17" s="1" t="s">
        <v>128</v>
      </c>
      <c r="AD17" s="1">
        <f t="shared" si="0"/>
        <v>7</v>
      </c>
    </row>
    <row r="18" spans="5:30" ht="85.5" x14ac:dyDescent="0.45">
      <c r="N18" s="1" t="s">
        <v>8</v>
      </c>
      <c r="O18" s="12" t="s">
        <v>147</v>
      </c>
      <c r="V18" s="1" t="s">
        <v>6</v>
      </c>
      <c r="W18" s="1" t="s">
        <v>103</v>
      </c>
      <c r="X18" s="1" t="s">
        <v>109</v>
      </c>
      <c r="Y18" s="1"/>
      <c r="Z18" s="1" t="s">
        <v>116</v>
      </c>
      <c r="AA18" s="55"/>
      <c r="AB18" s="1" t="s">
        <v>120</v>
      </c>
      <c r="AC18" s="1">
        <v>10</v>
      </c>
      <c r="AD18" s="1">
        <f t="shared" si="0"/>
        <v>8</v>
      </c>
    </row>
    <row r="19" spans="5:30" x14ac:dyDescent="0.45">
      <c r="V19" s="1" t="s">
        <v>7</v>
      </c>
      <c r="W19" s="1" t="s">
        <v>104</v>
      </c>
      <c r="X19" s="1" t="s">
        <v>112</v>
      </c>
      <c r="Y19" s="1"/>
      <c r="Z19" s="1" t="s">
        <v>117</v>
      </c>
      <c r="AA19" s="55"/>
      <c r="AB19" s="1" t="s">
        <v>120</v>
      </c>
      <c r="AC19" s="1" t="s">
        <v>129</v>
      </c>
      <c r="AD19" s="1">
        <f t="shared" si="0"/>
        <v>9</v>
      </c>
    </row>
    <row r="20" spans="5:30" x14ac:dyDescent="0.45">
      <c r="V20" s="1" t="s">
        <v>8</v>
      </c>
      <c r="W20" s="1" t="s">
        <v>104</v>
      </c>
      <c r="X20" s="1" t="s">
        <v>109</v>
      </c>
      <c r="Y20" s="1"/>
      <c r="Z20" s="1" t="s">
        <v>117</v>
      </c>
      <c r="AA20" s="55"/>
      <c r="AB20" s="1" t="s">
        <v>120</v>
      </c>
      <c r="AC20" s="1" t="s">
        <v>130</v>
      </c>
      <c r="AD20" s="1">
        <f t="shared" si="0"/>
        <v>10</v>
      </c>
    </row>
    <row r="21" spans="5:30" x14ac:dyDescent="0.45">
      <c r="E21" s="4" t="s">
        <v>39</v>
      </c>
      <c r="F21" s="4" t="s">
        <v>26</v>
      </c>
      <c r="G21" s="4" t="s">
        <v>25</v>
      </c>
    </row>
    <row r="22" spans="5:30" x14ac:dyDescent="0.45">
      <c r="E22" s="1" t="s">
        <v>0</v>
      </c>
      <c r="F22" s="2" t="s">
        <v>27</v>
      </c>
      <c r="G22" s="1" t="s">
        <v>28</v>
      </c>
    </row>
    <row r="23" spans="5:30" x14ac:dyDescent="0.45">
      <c r="E23" s="1" t="s">
        <v>1</v>
      </c>
      <c r="F23" s="3" t="s">
        <v>29</v>
      </c>
      <c r="G23" s="1" t="s">
        <v>30</v>
      </c>
    </row>
    <row r="24" spans="5:30" x14ac:dyDescent="0.45">
      <c r="E24" s="1" t="s">
        <v>2</v>
      </c>
      <c r="F24" s="2" t="s">
        <v>27</v>
      </c>
      <c r="G24" s="1" t="s">
        <v>31</v>
      </c>
    </row>
    <row r="25" spans="5:30" x14ac:dyDescent="0.45">
      <c r="E25" s="1" t="s">
        <v>3</v>
      </c>
      <c r="F25" s="3" t="s">
        <v>29</v>
      </c>
      <c r="G25" s="1" t="s">
        <v>32</v>
      </c>
    </row>
    <row r="26" spans="5:30" x14ac:dyDescent="0.45">
      <c r="E26" s="1" t="s">
        <v>13</v>
      </c>
      <c r="F26" s="2" t="s">
        <v>27</v>
      </c>
      <c r="G26" s="1" t="s">
        <v>33</v>
      </c>
    </row>
    <row r="27" spans="5:30" x14ac:dyDescent="0.45">
      <c r="E27" s="1" t="s">
        <v>4</v>
      </c>
      <c r="F27" s="3" t="s">
        <v>29</v>
      </c>
      <c r="G27" s="1" t="s">
        <v>34</v>
      </c>
    </row>
    <row r="28" spans="5:30" x14ac:dyDescent="0.45">
      <c r="E28" s="1" t="s">
        <v>5</v>
      </c>
      <c r="F28" s="2" t="s">
        <v>27</v>
      </c>
      <c r="G28" s="1" t="s">
        <v>35</v>
      </c>
    </row>
    <row r="29" spans="5:30" x14ac:dyDescent="0.45">
      <c r="E29" s="1" t="s">
        <v>6</v>
      </c>
      <c r="F29" s="2" t="s">
        <v>27</v>
      </c>
      <c r="G29" s="1" t="s">
        <v>36</v>
      </c>
    </row>
    <row r="30" spans="5:30" x14ac:dyDescent="0.45">
      <c r="E30" s="1" t="s">
        <v>7</v>
      </c>
      <c r="F30" s="2" t="s">
        <v>27</v>
      </c>
      <c r="G30" s="1" t="s">
        <v>38</v>
      </c>
    </row>
    <row r="31" spans="5:30" x14ac:dyDescent="0.45">
      <c r="E31" s="1" t="s">
        <v>8</v>
      </c>
      <c r="F31" s="2" t="s">
        <v>27</v>
      </c>
      <c r="G31" s="1" t="s">
        <v>37</v>
      </c>
    </row>
    <row r="34" spans="5:37" ht="14.65" thickBot="1" x14ac:dyDescent="0.5"/>
    <row r="35" spans="5:37" ht="29.65" thickBot="1" x14ac:dyDescent="0.6">
      <c r="L35" s="5"/>
      <c r="V35" s="13" t="s">
        <v>39</v>
      </c>
      <c r="W35" s="14" t="s">
        <v>10</v>
      </c>
      <c r="X35" s="14"/>
      <c r="Y35" s="14" t="s">
        <v>108</v>
      </c>
      <c r="Z35" s="14" t="s">
        <v>115</v>
      </c>
      <c r="AA35" s="14" t="s">
        <v>118</v>
      </c>
      <c r="AB35" s="14" t="s">
        <v>121</v>
      </c>
      <c r="AC35" s="15" t="s">
        <v>152</v>
      </c>
      <c r="AF35" s="28" t="s">
        <v>139</v>
      </c>
      <c r="AG35" s="42" t="s">
        <v>158</v>
      </c>
      <c r="AH35" s="11" t="s">
        <v>134</v>
      </c>
      <c r="AI35" s="11" t="s">
        <v>135</v>
      </c>
      <c r="AJ35" s="11" t="s">
        <v>133</v>
      </c>
      <c r="AK35" s="42" t="s">
        <v>159</v>
      </c>
    </row>
    <row r="36" spans="5:37" ht="26.65" thickBot="1" x14ac:dyDescent="0.5">
      <c r="V36" s="16" t="s">
        <v>0</v>
      </c>
      <c r="W36" s="21" t="s">
        <v>103</v>
      </c>
      <c r="X36" s="29">
        <v>1</v>
      </c>
      <c r="Y36" s="24" t="s">
        <v>109</v>
      </c>
      <c r="Z36" s="33" t="s">
        <v>116</v>
      </c>
      <c r="AA36" s="49" t="s">
        <v>153</v>
      </c>
      <c r="AB36" s="17">
        <v>10</v>
      </c>
      <c r="AC36" s="18" t="s">
        <v>154</v>
      </c>
      <c r="AF36" s="34" t="s">
        <v>157</v>
      </c>
      <c r="AG36" s="43"/>
      <c r="AH36" s="47"/>
      <c r="AI36" s="47"/>
      <c r="AJ36" s="47"/>
      <c r="AK36" s="41"/>
    </row>
    <row r="37" spans="5:37" ht="14.65" thickBot="1" x14ac:dyDescent="0.5">
      <c r="V37" s="16" t="s">
        <v>1</v>
      </c>
      <c r="W37" s="23" t="s">
        <v>105</v>
      </c>
      <c r="X37" s="16">
        <f>X36+1</f>
        <v>2</v>
      </c>
      <c r="Y37" s="32" t="s">
        <v>111</v>
      </c>
      <c r="Z37" s="17" t="s">
        <v>117</v>
      </c>
      <c r="AA37" s="50"/>
      <c r="AB37" s="17" t="s">
        <v>122</v>
      </c>
      <c r="AC37" s="19" t="s">
        <v>135</v>
      </c>
      <c r="AF37" s="34" t="s">
        <v>136</v>
      </c>
      <c r="AG37" s="44"/>
      <c r="AH37" s="26"/>
      <c r="AI37" s="26"/>
      <c r="AJ37" s="26"/>
      <c r="AK37" s="45"/>
    </row>
    <row r="38" spans="5:37" ht="27" thickTop="1" thickBot="1" x14ac:dyDescent="0.5">
      <c r="V38" s="16" t="s">
        <v>2</v>
      </c>
      <c r="W38" s="22" t="s">
        <v>104</v>
      </c>
      <c r="X38" s="31">
        <f t="shared" ref="X38:X45" si="1">X37+1</f>
        <v>3</v>
      </c>
      <c r="Y38" s="24" t="s">
        <v>109</v>
      </c>
      <c r="Z38" s="33" t="s">
        <v>116</v>
      </c>
      <c r="AA38" s="51"/>
      <c r="AB38" s="17" t="s">
        <v>123</v>
      </c>
      <c r="AC38" s="18" t="s">
        <v>154</v>
      </c>
      <c r="AF38" s="34" t="s">
        <v>137</v>
      </c>
      <c r="AG38" s="44"/>
      <c r="AH38" s="26"/>
      <c r="AI38" s="40">
        <v>2</v>
      </c>
      <c r="AJ38" s="39" t="s">
        <v>161</v>
      </c>
      <c r="AK38" s="48" t="s">
        <v>162</v>
      </c>
    </row>
    <row r="39" spans="5:37" ht="15" thickTop="1" thickBot="1" x14ac:dyDescent="0.5">
      <c r="V39" s="16" t="s">
        <v>3</v>
      </c>
      <c r="W39" s="23" t="s">
        <v>105</v>
      </c>
      <c r="X39" s="16">
        <f t="shared" si="1"/>
        <v>4</v>
      </c>
      <c r="Y39" s="24" t="s">
        <v>112</v>
      </c>
      <c r="Z39" s="17" t="s">
        <v>117</v>
      </c>
      <c r="AA39" s="17" t="s">
        <v>155</v>
      </c>
      <c r="AB39" s="17" t="s">
        <v>126</v>
      </c>
      <c r="AC39" s="20" t="s">
        <v>133</v>
      </c>
      <c r="AF39" s="34" t="s">
        <v>138</v>
      </c>
      <c r="AG39" s="44"/>
      <c r="AH39" s="26"/>
      <c r="AI39" s="38"/>
      <c r="AJ39" s="38">
        <v>5</v>
      </c>
      <c r="AK39" s="37">
        <v>3</v>
      </c>
    </row>
    <row r="40" spans="5:37" ht="15" thickTop="1" thickBot="1" x14ac:dyDescent="0.5">
      <c r="V40" s="16" t="s">
        <v>13</v>
      </c>
      <c r="W40" s="22" t="s">
        <v>106</v>
      </c>
      <c r="X40" s="30">
        <f t="shared" si="1"/>
        <v>5</v>
      </c>
      <c r="Y40" s="25" t="s">
        <v>113</v>
      </c>
      <c r="Z40" s="33" t="s">
        <v>116</v>
      </c>
      <c r="AA40" s="49" t="s">
        <v>153</v>
      </c>
      <c r="AB40" s="17" t="s">
        <v>124</v>
      </c>
      <c r="AC40" s="20" t="s">
        <v>133</v>
      </c>
      <c r="AF40" s="34" t="s">
        <v>156</v>
      </c>
      <c r="AG40" s="46"/>
      <c r="AH40" s="27"/>
      <c r="AI40" s="35">
        <v>7</v>
      </c>
      <c r="AJ40" s="36"/>
      <c r="AK40" s="35" t="s">
        <v>160</v>
      </c>
    </row>
    <row r="41" spans="5:37" ht="14.65" thickBot="1" x14ac:dyDescent="0.5">
      <c r="V41" s="16" t="s">
        <v>4</v>
      </c>
      <c r="W41" s="23" t="s">
        <v>107</v>
      </c>
      <c r="X41" s="16">
        <f t="shared" si="1"/>
        <v>6</v>
      </c>
      <c r="Y41" s="25" t="s">
        <v>114</v>
      </c>
      <c r="Z41" s="17" t="s">
        <v>117</v>
      </c>
      <c r="AA41" s="50"/>
      <c r="AB41" s="17" t="s">
        <v>127</v>
      </c>
      <c r="AC41" s="20" t="s">
        <v>133</v>
      </c>
    </row>
    <row r="42" spans="5:37" ht="26.65" thickBot="1" x14ac:dyDescent="0.5">
      <c r="E42" s="4" t="s">
        <v>39</v>
      </c>
      <c r="F42" s="4" t="s">
        <v>40</v>
      </c>
      <c r="G42" s="4" t="s">
        <v>25</v>
      </c>
      <c r="V42" s="16" t="s">
        <v>5</v>
      </c>
      <c r="W42" s="21" t="s">
        <v>103</v>
      </c>
      <c r="X42" s="16">
        <f t="shared" si="1"/>
        <v>7</v>
      </c>
      <c r="Y42" s="32" t="s">
        <v>110</v>
      </c>
      <c r="Z42" s="33" t="s">
        <v>116</v>
      </c>
      <c r="AA42" s="50"/>
      <c r="AB42" s="17" t="s">
        <v>128</v>
      </c>
      <c r="AC42" s="18" t="s">
        <v>154</v>
      </c>
    </row>
    <row r="43" spans="5:37" ht="26.65" thickBot="1" x14ac:dyDescent="0.5">
      <c r="E43" s="1" t="s">
        <v>0</v>
      </c>
      <c r="F43" s="2" t="s">
        <v>27</v>
      </c>
      <c r="G43" s="1" t="s">
        <v>41</v>
      </c>
      <c r="V43" s="16" t="s">
        <v>6</v>
      </c>
      <c r="W43" s="21" t="s">
        <v>103</v>
      </c>
      <c r="X43" s="29">
        <f t="shared" si="1"/>
        <v>8</v>
      </c>
      <c r="Y43" s="24" t="s">
        <v>109</v>
      </c>
      <c r="Z43" s="33" t="s">
        <v>116</v>
      </c>
      <c r="AA43" s="50"/>
      <c r="AB43" s="17">
        <v>10</v>
      </c>
      <c r="AC43" s="18" t="s">
        <v>154</v>
      </c>
    </row>
    <row r="44" spans="5:37" ht="14.65" thickBot="1" x14ac:dyDescent="0.5">
      <c r="E44" s="1" t="s">
        <v>1</v>
      </c>
      <c r="F44" s="6" t="s">
        <v>12</v>
      </c>
      <c r="G44" s="1" t="s">
        <v>42</v>
      </c>
      <c r="V44" s="16" t="s">
        <v>7</v>
      </c>
      <c r="W44" s="23" t="s">
        <v>104</v>
      </c>
      <c r="X44" s="30">
        <f t="shared" si="1"/>
        <v>9</v>
      </c>
      <c r="Y44" s="25" t="s">
        <v>112</v>
      </c>
      <c r="Z44" s="17" t="s">
        <v>117</v>
      </c>
      <c r="AA44" s="50"/>
      <c r="AB44" s="17" t="s">
        <v>129</v>
      </c>
      <c r="AC44" s="20" t="s">
        <v>133</v>
      </c>
    </row>
    <row r="45" spans="5:37" ht="14.65" thickBot="1" x14ac:dyDescent="0.5">
      <c r="E45" s="1" t="s">
        <v>2</v>
      </c>
      <c r="F45" s="2" t="s">
        <v>12</v>
      </c>
      <c r="G45" s="1" t="s">
        <v>43</v>
      </c>
      <c r="V45" s="16" t="s">
        <v>8</v>
      </c>
      <c r="W45" s="23" t="s">
        <v>104</v>
      </c>
      <c r="X45" s="31">
        <f t="shared" si="1"/>
        <v>10</v>
      </c>
      <c r="Y45" s="24" t="s">
        <v>109</v>
      </c>
      <c r="Z45" s="17" t="s">
        <v>117</v>
      </c>
      <c r="AA45" s="51"/>
      <c r="AB45" s="17" t="s">
        <v>130</v>
      </c>
      <c r="AC45" s="20" t="s">
        <v>133</v>
      </c>
    </row>
    <row r="46" spans="5:37" x14ac:dyDescent="0.45">
      <c r="E46" s="1" t="s">
        <v>3</v>
      </c>
      <c r="F46" s="6" t="s">
        <v>12</v>
      </c>
      <c r="G46" s="1" t="s">
        <v>44</v>
      </c>
    </row>
    <row r="47" spans="5:37" x14ac:dyDescent="0.45">
      <c r="E47" s="1" t="s">
        <v>13</v>
      </c>
      <c r="F47" s="2" t="s">
        <v>27</v>
      </c>
      <c r="G47" s="1" t="s">
        <v>45</v>
      </c>
    </row>
    <row r="48" spans="5:37" x14ac:dyDescent="0.45">
      <c r="E48" s="1" t="s">
        <v>4</v>
      </c>
      <c r="F48" s="6" t="s">
        <v>27</v>
      </c>
      <c r="G48" s="1" t="s">
        <v>46</v>
      </c>
    </row>
    <row r="49" spans="5:7" x14ac:dyDescent="0.45">
      <c r="E49" s="1" t="s">
        <v>5</v>
      </c>
      <c r="F49" s="2" t="s">
        <v>27</v>
      </c>
      <c r="G49" s="1" t="s">
        <v>46</v>
      </c>
    </row>
    <row r="50" spans="5:7" x14ac:dyDescent="0.45">
      <c r="E50" s="1" t="s">
        <v>6</v>
      </c>
      <c r="F50" s="2" t="s">
        <v>27</v>
      </c>
      <c r="G50" s="1" t="s">
        <v>47</v>
      </c>
    </row>
    <row r="51" spans="5:7" x14ac:dyDescent="0.45">
      <c r="E51" s="1" t="s">
        <v>7</v>
      </c>
      <c r="F51" s="2" t="s">
        <v>12</v>
      </c>
      <c r="G51" s="1" t="s">
        <v>48</v>
      </c>
    </row>
    <row r="52" spans="5:7" x14ac:dyDescent="0.45">
      <c r="E52" s="1" t="s">
        <v>8</v>
      </c>
      <c r="F52" s="2" t="s">
        <v>12</v>
      </c>
      <c r="G52" s="1" t="s">
        <v>49</v>
      </c>
    </row>
    <row r="56" spans="5:7" x14ac:dyDescent="0.45">
      <c r="E56" s="4" t="s">
        <v>39</v>
      </c>
      <c r="F56" s="4" t="s">
        <v>50</v>
      </c>
      <c r="G56" s="4" t="s">
        <v>25</v>
      </c>
    </row>
    <row r="57" spans="5:7" x14ac:dyDescent="0.45">
      <c r="E57" s="1" t="s">
        <v>0</v>
      </c>
      <c r="F57" s="2" t="s">
        <v>27</v>
      </c>
      <c r="G57" s="52" t="s">
        <v>51</v>
      </c>
    </row>
    <row r="58" spans="5:7" x14ac:dyDescent="0.45">
      <c r="E58" s="1" t="s">
        <v>1</v>
      </c>
      <c r="F58" s="2" t="s">
        <v>27</v>
      </c>
      <c r="G58" s="53"/>
    </row>
    <row r="59" spans="5:7" x14ac:dyDescent="0.45">
      <c r="E59" s="1" t="s">
        <v>2</v>
      </c>
      <c r="F59" s="2" t="s">
        <v>27</v>
      </c>
      <c r="G59" s="53"/>
    </row>
    <row r="60" spans="5:7" x14ac:dyDescent="0.45">
      <c r="E60" s="1" t="s">
        <v>3</v>
      </c>
      <c r="F60" s="2" t="s">
        <v>27</v>
      </c>
      <c r="G60" s="54"/>
    </row>
    <row r="61" spans="5:7" x14ac:dyDescent="0.45">
      <c r="E61" s="1" t="s">
        <v>13</v>
      </c>
      <c r="F61" s="2" t="s">
        <v>52</v>
      </c>
      <c r="G61" s="1" t="s">
        <v>53</v>
      </c>
    </row>
    <row r="62" spans="5:7" x14ac:dyDescent="0.45">
      <c r="E62" s="1" t="s">
        <v>4</v>
      </c>
      <c r="F62" s="2" t="s">
        <v>54</v>
      </c>
      <c r="G62" s="1" t="s">
        <v>55</v>
      </c>
    </row>
    <row r="63" spans="5:7" x14ac:dyDescent="0.45">
      <c r="E63" s="1" t="s">
        <v>5</v>
      </c>
      <c r="F63" s="2" t="s">
        <v>27</v>
      </c>
      <c r="G63" s="52" t="s">
        <v>56</v>
      </c>
    </row>
    <row r="64" spans="5:7" x14ac:dyDescent="0.45">
      <c r="E64" s="1" t="s">
        <v>6</v>
      </c>
      <c r="F64" s="2" t="s">
        <v>27</v>
      </c>
      <c r="G64" s="53"/>
    </row>
    <row r="65" spans="5:7" x14ac:dyDescent="0.45">
      <c r="E65" s="1" t="s">
        <v>7</v>
      </c>
      <c r="F65" s="2" t="s">
        <v>27</v>
      </c>
      <c r="G65" s="53"/>
    </row>
    <row r="66" spans="5:7" x14ac:dyDescent="0.45">
      <c r="E66" s="1" t="s">
        <v>8</v>
      </c>
      <c r="F66" s="2" t="s">
        <v>27</v>
      </c>
      <c r="G66" s="54"/>
    </row>
    <row r="73" spans="5:7" x14ac:dyDescent="0.45">
      <c r="E73" s="4" t="s">
        <v>39</v>
      </c>
      <c r="F73" s="4" t="s">
        <v>57</v>
      </c>
      <c r="G73" s="4" t="s">
        <v>25</v>
      </c>
    </row>
    <row r="74" spans="5:7" x14ac:dyDescent="0.45">
      <c r="E74" s="1" t="s">
        <v>0</v>
      </c>
      <c r="F74" s="2" t="s">
        <v>14</v>
      </c>
      <c r="G74" s="8" t="s">
        <v>58</v>
      </c>
    </row>
    <row r="75" spans="5:7" x14ac:dyDescent="0.45">
      <c r="E75" s="1" t="s">
        <v>1</v>
      </c>
      <c r="F75" s="2" t="s">
        <v>14</v>
      </c>
      <c r="G75" s="8" t="s">
        <v>63</v>
      </c>
    </row>
    <row r="76" spans="5:7" x14ac:dyDescent="0.45">
      <c r="E76" s="1" t="s">
        <v>2</v>
      </c>
      <c r="F76" s="2" t="s">
        <v>14</v>
      </c>
      <c r="G76" s="8" t="s">
        <v>62</v>
      </c>
    </row>
    <row r="77" spans="5:7" x14ac:dyDescent="0.45">
      <c r="E77" s="1" t="s">
        <v>3</v>
      </c>
      <c r="F77" s="2" t="s">
        <v>12</v>
      </c>
      <c r="G77" s="8" t="s">
        <v>61</v>
      </c>
    </row>
    <row r="78" spans="5:7" x14ac:dyDescent="0.45">
      <c r="E78" s="1" t="s">
        <v>13</v>
      </c>
      <c r="F78" s="2" t="s">
        <v>14</v>
      </c>
      <c r="G78" s="1" t="s">
        <v>59</v>
      </c>
    </row>
    <row r="79" spans="5:7" x14ac:dyDescent="0.45">
      <c r="E79" s="1" t="s">
        <v>4</v>
      </c>
      <c r="F79" s="2" t="s">
        <v>14</v>
      </c>
      <c r="G79" s="1" t="s">
        <v>60</v>
      </c>
    </row>
    <row r="80" spans="5:7" x14ac:dyDescent="0.45">
      <c r="E80" s="1" t="s">
        <v>5</v>
      </c>
      <c r="F80" s="2" t="s">
        <v>27</v>
      </c>
      <c r="G80" s="8" t="s">
        <v>64</v>
      </c>
    </row>
    <row r="81" spans="5:7" x14ac:dyDescent="0.45">
      <c r="E81" s="1" t="s">
        <v>6</v>
      </c>
      <c r="F81" s="2" t="s">
        <v>14</v>
      </c>
      <c r="G81" s="8" t="s">
        <v>65</v>
      </c>
    </row>
    <row r="82" spans="5:7" x14ac:dyDescent="0.45">
      <c r="E82" s="1" t="s">
        <v>7</v>
      </c>
      <c r="F82" s="2" t="s">
        <v>12</v>
      </c>
      <c r="G82" s="8" t="s">
        <v>66</v>
      </c>
    </row>
    <row r="83" spans="5:7" x14ac:dyDescent="0.45">
      <c r="E83" s="1" t="s">
        <v>8</v>
      </c>
      <c r="F83" s="2" t="s">
        <v>14</v>
      </c>
      <c r="G83" s="7" t="s">
        <v>67</v>
      </c>
    </row>
    <row r="89" spans="5:7" x14ac:dyDescent="0.45">
      <c r="E89" s="4" t="s">
        <v>39</v>
      </c>
      <c r="F89" s="4" t="s">
        <v>68</v>
      </c>
      <c r="G89" s="4" t="s">
        <v>25</v>
      </c>
    </row>
    <row r="90" spans="5:7" x14ac:dyDescent="0.45">
      <c r="E90" s="1" t="s">
        <v>0</v>
      </c>
      <c r="F90" s="2" t="s">
        <v>14</v>
      </c>
      <c r="G90" s="8" t="s">
        <v>69</v>
      </c>
    </row>
    <row r="91" spans="5:7" x14ac:dyDescent="0.45">
      <c r="E91" s="1" t="s">
        <v>1</v>
      </c>
      <c r="F91" s="2" t="s">
        <v>27</v>
      </c>
      <c r="G91" s="8" t="s">
        <v>70</v>
      </c>
    </row>
    <row r="92" spans="5:7" x14ac:dyDescent="0.45">
      <c r="E92" s="1" t="s">
        <v>2</v>
      </c>
      <c r="F92" s="2" t="s">
        <v>14</v>
      </c>
      <c r="G92" s="8" t="s">
        <v>71</v>
      </c>
    </row>
    <row r="93" spans="5:7" x14ac:dyDescent="0.45">
      <c r="E93" s="1" t="s">
        <v>3</v>
      </c>
      <c r="F93" s="2" t="s">
        <v>14</v>
      </c>
      <c r="G93" s="8" t="s">
        <v>72</v>
      </c>
    </row>
    <row r="94" spans="5:7" x14ac:dyDescent="0.45">
      <c r="E94" s="1" t="s">
        <v>13</v>
      </c>
      <c r="F94" s="2" t="s">
        <v>12</v>
      </c>
      <c r="G94" s="1" t="s">
        <v>73</v>
      </c>
    </row>
    <row r="95" spans="5:7" x14ac:dyDescent="0.45">
      <c r="E95" s="1" t="s">
        <v>4</v>
      </c>
      <c r="F95" s="2" t="s">
        <v>14</v>
      </c>
      <c r="G95" s="1" t="s">
        <v>74</v>
      </c>
    </row>
    <row r="96" spans="5:7" x14ac:dyDescent="0.45">
      <c r="E96" s="1" t="s">
        <v>5</v>
      </c>
      <c r="F96" s="2" t="s">
        <v>27</v>
      </c>
      <c r="G96" s="8" t="s">
        <v>75</v>
      </c>
    </row>
    <row r="97" spans="5:7" x14ac:dyDescent="0.45">
      <c r="E97" s="1" t="s">
        <v>6</v>
      </c>
      <c r="F97" s="2" t="s">
        <v>14</v>
      </c>
      <c r="G97" s="8" t="s">
        <v>76</v>
      </c>
    </row>
    <row r="98" spans="5:7" x14ac:dyDescent="0.45">
      <c r="E98" s="1" t="s">
        <v>7</v>
      </c>
      <c r="F98" s="2" t="s">
        <v>14</v>
      </c>
      <c r="G98" s="8" t="s">
        <v>77</v>
      </c>
    </row>
    <row r="99" spans="5:7" x14ac:dyDescent="0.45">
      <c r="E99" s="1" t="s">
        <v>8</v>
      </c>
      <c r="F99" s="2" t="s">
        <v>14</v>
      </c>
      <c r="G99" s="7" t="s">
        <v>78</v>
      </c>
    </row>
    <row r="104" spans="5:7" x14ac:dyDescent="0.45">
      <c r="E104" s="4" t="s">
        <v>39</v>
      </c>
      <c r="F104" s="4" t="s">
        <v>79</v>
      </c>
      <c r="G104" s="4" t="s">
        <v>25</v>
      </c>
    </row>
    <row r="105" spans="5:7" x14ac:dyDescent="0.45">
      <c r="E105" s="1" t="s">
        <v>0</v>
      </c>
      <c r="F105" s="2" t="s">
        <v>14</v>
      </c>
      <c r="G105" s="8" t="s">
        <v>80</v>
      </c>
    </row>
    <row r="106" spans="5:7" x14ac:dyDescent="0.45">
      <c r="E106" s="1" t="s">
        <v>1</v>
      </c>
      <c r="F106" s="2" t="s">
        <v>27</v>
      </c>
      <c r="G106" s="8" t="s">
        <v>81</v>
      </c>
    </row>
    <row r="107" spans="5:7" x14ac:dyDescent="0.45">
      <c r="E107" s="1" t="s">
        <v>2</v>
      </c>
      <c r="F107" s="2" t="s">
        <v>14</v>
      </c>
      <c r="G107" s="8" t="s">
        <v>82</v>
      </c>
    </row>
    <row r="108" spans="5:7" x14ac:dyDescent="0.45">
      <c r="E108" s="1" t="s">
        <v>3</v>
      </c>
      <c r="F108" s="2" t="s">
        <v>12</v>
      </c>
      <c r="G108" s="8" t="s">
        <v>83</v>
      </c>
    </row>
    <row r="109" spans="5:7" x14ac:dyDescent="0.45">
      <c r="E109" s="1" t="s">
        <v>13</v>
      </c>
      <c r="F109" s="2" t="s">
        <v>12</v>
      </c>
      <c r="G109" s="1" t="s">
        <v>84</v>
      </c>
    </row>
    <row r="110" spans="5:7" x14ac:dyDescent="0.45">
      <c r="E110" s="1" t="s">
        <v>4</v>
      </c>
      <c r="F110" s="2" t="s">
        <v>12</v>
      </c>
      <c r="G110" s="1" t="s">
        <v>85</v>
      </c>
    </row>
    <row r="111" spans="5:7" x14ac:dyDescent="0.45">
      <c r="E111" s="1" t="s">
        <v>5</v>
      </c>
      <c r="F111" s="2" t="s">
        <v>14</v>
      </c>
      <c r="G111" s="8" t="s">
        <v>86</v>
      </c>
    </row>
    <row r="112" spans="5:7" x14ac:dyDescent="0.45">
      <c r="E112" s="1" t="s">
        <v>6</v>
      </c>
      <c r="F112" s="2" t="s">
        <v>14</v>
      </c>
      <c r="G112" s="8" t="s">
        <v>87</v>
      </c>
    </row>
    <row r="113" spans="5:7" x14ac:dyDescent="0.45">
      <c r="E113" s="1" t="s">
        <v>7</v>
      </c>
      <c r="F113" s="2" t="s">
        <v>12</v>
      </c>
      <c r="G113" s="8" t="s">
        <v>88</v>
      </c>
    </row>
    <row r="114" spans="5:7" x14ac:dyDescent="0.45">
      <c r="E114" s="1" t="s">
        <v>8</v>
      </c>
      <c r="F114" s="2" t="s">
        <v>14</v>
      </c>
      <c r="G114" s="7" t="s">
        <v>89</v>
      </c>
    </row>
    <row r="119" spans="5:7" x14ac:dyDescent="0.45">
      <c r="E119" s="4" t="s">
        <v>39</v>
      </c>
      <c r="F119" s="4" t="s">
        <v>90</v>
      </c>
      <c r="G119" s="4" t="s">
        <v>25</v>
      </c>
    </row>
    <row r="120" spans="5:7" x14ac:dyDescent="0.45">
      <c r="E120" s="1" t="s">
        <v>0</v>
      </c>
      <c r="F120" s="2" t="s">
        <v>91</v>
      </c>
      <c r="G120" s="8" t="s">
        <v>92</v>
      </c>
    </row>
    <row r="121" spans="5:7" x14ac:dyDescent="0.45">
      <c r="E121" s="1" t="s">
        <v>1</v>
      </c>
      <c r="F121" s="2" t="s">
        <v>93</v>
      </c>
      <c r="G121" s="8" t="s">
        <v>94</v>
      </c>
    </row>
    <row r="122" spans="5:7" x14ac:dyDescent="0.45">
      <c r="E122" s="1" t="s">
        <v>2</v>
      </c>
      <c r="F122" s="2" t="s">
        <v>91</v>
      </c>
      <c r="G122" s="8" t="s">
        <v>95</v>
      </c>
    </row>
    <row r="123" spans="5:7" x14ac:dyDescent="0.45">
      <c r="E123" s="1" t="s">
        <v>3</v>
      </c>
      <c r="F123" s="2" t="s">
        <v>93</v>
      </c>
      <c r="G123" s="8" t="s">
        <v>96</v>
      </c>
    </row>
    <row r="124" spans="5:7" x14ac:dyDescent="0.45">
      <c r="E124" s="1" t="s">
        <v>13</v>
      </c>
      <c r="F124" s="2" t="s">
        <v>91</v>
      </c>
      <c r="G124" s="1" t="s">
        <v>97</v>
      </c>
    </row>
    <row r="125" spans="5:7" x14ac:dyDescent="0.45">
      <c r="E125" s="1" t="s">
        <v>4</v>
      </c>
      <c r="F125" s="2" t="s">
        <v>93</v>
      </c>
      <c r="G125" s="1" t="s">
        <v>98</v>
      </c>
    </row>
    <row r="126" spans="5:7" x14ac:dyDescent="0.45">
      <c r="E126" s="1" t="s">
        <v>5</v>
      </c>
      <c r="F126" s="2" t="s">
        <v>91</v>
      </c>
      <c r="G126" s="8" t="s">
        <v>99</v>
      </c>
    </row>
    <row r="127" spans="5:7" x14ac:dyDescent="0.45">
      <c r="E127" s="1" t="s">
        <v>6</v>
      </c>
      <c r="F127" s="2" t="s">
        <v>91</v>
      </c>
      <c r="G127" s="8" t="s">
        <v>100</v>
      </c>
    </row>
    <row r="128" spans="5:7" x14ac:dyDescent="0.45">
      <c r="E128" s="1" t="s">
        <v>7</v>
      </c>
      <c r="F128" s="2" t="s">
        <v>93</v>
      </c>
      <c r="G128" s="8" t="s">
        <v>101</v>
      </c>
    </row>
    <row r="129" spans="5:7" x14ac:dyDescent="0.45">
      <c r="E129" s="1" t="s">
        <v>8</v>
      </c>
      <c r="F129" s="2" t="s">
        <v>93</v>
      </c>
      <c r="G129" s="7" t="s">
        <v>102</v>
      </c>
    </row>
  </sheetData>
  <mergeCells count="6">
    <mergeCell ref="AA11:AA13"/>
    <mergeCell ref="AA15:AA20"/>
    <mergeCell ref="AA36:AA38"/>
    <mergeCell ref="AA40:AA45"/>
    <mergeCell ref="G63:G66"/>
    <mergeCell ref="G57:G6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764391778E2B4FBABC02A2DE5CC80E" ma:contentTypeVersion="16" ma:contentTypeDescription="Create a new document." ma:contentTypeScope="" ma:versionID="8cd7e18ed38d100726124fedddd21d7f">
  <xsd:schema xmlns:xsd="http://www.w3.org/2001/XMLSchema" xmlns:xs="http://www.w3.org/2001/XMLSchema" xmlns:p="http://schemas.microsoft.com/office/2006/metadata/properties" xmlns:ns3="b163ee49-d5ca-4566-8d9a-132778b8595f" xmlns:ns4="bd9de7ca-1bc7-4476-8342-8c6da5362d49" targetNamespace="http://schemas.microsoft.com/office/2006/metadata/properties" ma:root="true" ma:fieldsID="5810048bd9b7f906d114bb171cab86be" ns3:_="" ns4:_="">
    <xsd:import namespace="b163ee49-d5ca-4566-8d9a-132778b8595f"/>
    <xsd:import namespace="bd9de7ca-1bc7-4476-8342-8c6da5362d4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3ee49-d5ca-4566-8d9a-132778b8595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de7ca-1bc7-4476-8342-8c6da5362d4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63ee49-d5ca-4566-8d9a-132778b8595f" xsi:nil="true"/>
  </documentManagement>
</p:properties>
</file>

<file path=customXml/itemProps1.xml><?xml version="1.0" encoding="utf-8"?>
<ds:datastoreItem xmlns:ds="http://schemas.openxmlformats.org/officeDocument/2006/customXml" ds:itemID="{F89C22EF-0558-44CC-B652-59F480FC68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03F3C-A2AC-4E31-BBC5-98D31510C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3ee49-d5ca-4566-8d9a-132778b8595f"/>
    <ds:schemaRef ds:uri="bd9de7ca-1bc7-4476-8342-8c6da5362d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682274-A666-4AE1-AF84-27C241974516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bd9de7ca-1bc7-4476-8342-8c6da5362d49"/>
    <ds:schemaRef ds:uri="b163ee49-d5ca-4566-8d9a-132778b8595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Francisca Domingues De Freitas</dc:creator>
  <cp:lastModifiedBy>Laura Francisca Domingues De Freitas</cp:lastModifiedBy>
  <dcterms:created xsi:type="dcterms:W3CDTF">2025-12-07T11:37:40Z</dcterms:created>
  <dcterms:modified xsi:type="dcterms:W3CDTF">2025-12-14T10:10:07Z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0x01010076764391778E2B4FBABC02A2DE5CC80E</vt:lpwstr>
  </property>
</Properties>
</file>